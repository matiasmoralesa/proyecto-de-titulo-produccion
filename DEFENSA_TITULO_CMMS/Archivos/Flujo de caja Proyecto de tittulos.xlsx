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ect.DESKTOP-S2LKP0V\Downloads\"/>
    </mc:Choice>
  </mc:AlternateContent>
  <xr:revisionPtr revIDLastSave="0" documentId="13_ncr:1_{D5D8EB6B-0D75-40E4-B8C5-13C9C2B119BB}" xr6:coauthVersionLast="47" xr6:coauthVersionMax="47" xr10:uidLastSave="{00000000-0000-0000-0000-000000000000}"/>
  <bookViews>
    <workbookView xWindow="-120" yWindow="-120" windowWidth="38640" windowHeight="21840" activeTab="1" xr2:uid="{A3A876FA-FEF7-4C94-9111-789C5369DAA4}"/>
  </bookViews>
  <sheets>
    <sheet name="Detalle Inversión" sheetId="2" r:id="rId1"/>
    <sheet name="Flujo de Caj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D8" i="2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D23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D11" i="1"/>
  <c r="C11" i="1"/>
  <c r="C18" i="1" s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D9" i="1"/>
  <c r="D24" i="1" l="1"/>
  <c r="D25" i="1"/>
  <c r="D19" i="1"/>
  <c r="E19" i="1" s="1"/>
  <c r="F19" i="1" s="1"/>
  <c r="C19" i="1"/>
  <c r="D26" i="1" l="1" a="1"/>
  <c r="D26" i="1" s="1"/>
  <c r="G19" i="1"/>
  <c r="H19" i="1" s="1"/>
  <c r="I19" i="1" s="1"/>
  <c r="J19" i="1" s="1"/>
  <c r="K19" i="1" s="1"/>
  <c r="L19" i="1" s="1"/>
  <c r="M19" i="1" s="1"/>
  <c r="N19" i="1" s="1"/>
  <c r="O19" i="1" s="1"/>
  <c r="P19" i="1" s="1"/>
  <c r="Q19" i="1" s="1"/>
  <c r="R19" i="1" s="1"/>
  <c r="S19" i="1" s="1"/>
  <c r="T19" i="1" s="1"/>
  <c r="U19" i="1" s="1"/>
  <c r="V19" i="1" s="1"/>
  <c r="W19" i="1" s="1"/>
  <c r="X19" i="1" s="1"/>
  <c r="Y19" i="1" s="1"/>
  <c r="Z19" i="1" s="1"/>
  <c r="AA19" i="1" s="1"/>
  <c r="D2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<sst xmlns="http://schemas.openxmlformats.org/spreadsheetml/2006/main" count="54" uniqueCount="54">
  <si>
    <t>Concepto</t>
  </si>
  <si>
    <t>Año 0 (Inversión)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</si>
  <si>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</si>
  <si>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</si>
  <si>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</si>
  <si>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</si>
  <si>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</si>
  <si>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</si>
  <si>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</si>
  <si>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</si>
  <si>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</si>
  <si>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</si>
  <si>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</si>
  <si>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13</t>
  </si>
  <si>
    <t>Mes 14</t>
  </si>
  <si>
    <t>Mes 15</t>
  </si>
  <si>
    <t>Mes 16</t>
  </si>
  <si>
    <t>Mes 17</t>
  </si>
  <si>
    <t>Mes 18</t>
  </si>
  <si>
    <t>Mes 19</t>
  </si>
  <si>
    <t>Mes 20</t>
  </si>
  <si>
    <t>Mes 21</t>
  </si>
  <si>
    <t>Mes 22</t>
  </si>
  <si>
    <t>Mes 23</t>
  </si>
  <si>
    <t>Mes 12 (Año 1)</t>
  </si>
  <si>
    <t>Mes 24(Año 2)</t>
  </si>
  <si>
    <t>INGRESOS (+)</t>
  </si>
  <si>
    <t>Licencias (3 Faenas)</t>
  </si>
  <si>
    <t>Soporte y Mantención</t>
  </si>
  <si>
    <t>Bolsa Horas Desarrollo</t>
  </si>
  <si>
    <t>EGRESOS (-)</t>
  </si>
  <si>
    <t>Inversión Inicial</t>
  </si>
  <si>
    <t>Infraestructura Cloud</t>
  </si>
  <si>
    <t>Equipo Desarrollo</t>
  </si>
  <si>
    <t>Gastos Admin.</t>
  </si>
  <si>
    <t>FLUJO NETO</t>
  </si>
  <si>
    <t>FLUJO ACUMULADO</t>
  </si>
  <si>
    <t>Tasa Anual</t>
  </si>
  <si>
    <t>Tasa Mensual</t>
  </si>
  <si>
    <t>VAN</t>
  </si>
  <si>
    <t xml:space="preserve">TIR MENSUAL </t>
  </si>
  <si>
    <t>Payback (Meses)</t>
  </si>
  <si>
    <t>ROI</t>
  </si>
  <si>
    <t>Ítem</t>
  </si>
  <si>
    <t>Detalle</t>
  </si>
  <si>
    <t>Monto (CLP)</t>
  </si>
  <si>
    <t>Equipamiento Tecnológico</t>
  </si>
  <si>
    <t>2 Notebooks Alto Rendimiento + Periféricos + Licencias IDE</t>
  </si>
  <si>
    <t>Constitución y Legal</t>
  </si>
  <si>
    <t>Escritura de empresa, Dominio .CL, Registro de Marca, Firma Electrónica</t>
  </si>
  <si>
    <t>Desarrollo del MVP</t>
  </si>
  <si>
    <t>Capitalización de 3 meses de trabajo x 2 Desarrolladores (Sueldo mercado Junior)</t>
  </si>
  <si>
    <t>TOTAL INVERSIÓN</t>
  </si>
  <si>
    <t>Suma Total (Va al Año 0 del Flujo)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</si>
</sst>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169" formatCode="_-[$$-409]* #,##0.00_ ;_-[$$-409]* \-#,##0.00\ ;_-[$$-409]* &quot;-&quot;??_ ;_-@_ "/>
    <numFmt numFmtId="174" formatCode="_-[$$-409]* #,##0_ ;_-[$$-409]* \-#,##0\ ;_-[$$-409]* &quot;-&quot;??_ ;_-@_ 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8"/>
      <name val="Aptos Narrow"/>
      <family val="2"/>
      <scheme val="minor"/>
    </font>
    <font>
      <sz val="12"/>
      <color rgb="FF1F1F1F"/>
      <name val="Arial"/>
      <family val="2"/>
    </font>
    <font>
      <sz val="12"/>
      <color rgb="FF444746"/>
      <name val="Google Sans Text"/>
      <family val="2"/>
    </font>
    <font>
      <b/>
      <sz val="12"/>
      <color theme="1"/>
      <name val="Arial"/>
      <family val="2"/>
    </font>
    <font>
      <u/>
      <sz val="11"/>
      <color theme="1"/>
      <name val="Aptos Narrow"/>
      <family val="2"/>
      <scheme val="minor"/>
    </font>
    <font>
      <b/>
      <sz val="12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 readingOrder="1"/>
    </xf>
    <xf numFmtId="0" fontId="5" fillId="0" borderId="0" xfId="0" applyFont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2" fontId="6" fillId="0" borderId="1" xfId="2" applyFont="1" applyBorder="1" applyAlignment="1">
      <alignment horizontal="center" vertical="center" wrapText="1"/>
    </xf>
    <xf numFmtId="44" fontId="6" fillId="0" borderId="1" xfId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 wrapText="1" readingOrder="1"/>
    </xf>
    <xf numFmtId="0" fontId="8" fillId="0" borderId="0" xfId="0" applyFont="1" applyAlignment="1">
      <alignment horizontal="right" vertical="center" wrapText="1" readingOrder="1"/>
    </xf>
    <xf numFmtId="0" fontId="4" fillId="0" borderId="0" xfId="0" applyFont="1" applyAlignment="1">
      <alignment horizontal="right" vertical="center" wrapText="1" readingOrder="1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3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169" fontId="4" fillId="0" borderId="1" xfId="0" applyNumberFormat="1" applyFont="1" applyBorder="1" applyAlignment="1">
      <alignment vertical="center" wrapText="1" readingOrder="1"/>
    </xf>
    <xf numFmtId="0" fontId="8" fillId="2" borderId="1" xfId="0" applyFont="1" applyFill="1" applyBorder="1" applyAlignment="1">
      <alignment horizontal="center" vertical="center" wrapText="1" readingOrder="1"/>
    </xf>
    <xf numFmtId="169" fontId="6" fillId="0" borderId="1" xfId="0" applyNumberFormat="1" applyFont="1" applyBorder="1" applyAlignment="1">
      <alignment horizontal="center" vertical="center"/>
    </xf>
    <xf numFmtId="169" fontId="6" fillId="0" borderId="1" xfId="0" applyNumberFormat="1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/>
    </xf>
    <xf numFmtId="174" fontId="2" fillId="0" borderId="1" xfId="0" applyNumberFormat="1" applyFont="1" applyBorder="1" applyAlignment="1">
      <alignment horizontal="center" vertical="center"/>
    </xf>
  </cellXfs>
  <cellStyles count="4">
    <cellStyle name="Moneda" xfId="1" builtinId="4"/>
    <cellStyle name="Moneda [0]" xfId="2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2A523-14C4-4675-B5A0-4DF06AF8F73D}">
  <dimension ref="B4:D8"/>
  <sheetViews>
    <sheetView workbookViewId="0">
      <selection activeCell="D8" sqref="D8"/>
    </sheetView>
  </sheetViews>
  <sheetFormatPr baseColWidth="10" defaultRowHeight="15"/>
  <cols>
    <col min="2" max="2" width="39.140625" customWidth="1"/>
    <col min="3" max="3" width="58" customWidth="1"/>
    <col min="4" max="4" width="49.7109375" customWidth="1"/>
  </cols>
  <sheetData>
    <row r="4" spans="2:4" ht="15.75">
      <c r="B4" s="23" t="s">
        <v>43</v>
      </c>
      <c r="C4" s="23" t="s">
        <v>44</v>
      </c>
      <c r="D4" s="23" t="s">
        <v>45</v>
      </c>
    </row>
    <row r="5" spans="2:4" ht="30">
      <c r="B5" s="20" t="s">
        <v>46</v>
      </c>
      <c r="C5" s="21" t="s">
        <v>47</v>
      </c>
      <c r="D5" s="22">
        <v>2100000</v>
      </c>
    </row>
    <row r="6" spans="2:4" ht="30">
      <c r="B6" s="20" t="s">
        <v>48</v>
      </c>
      <c r="C6" s="21" t="s">
        <v>49</v>
      </c>
      <c r="D6" s="22">
        <v>650000</v>
      </c>
    </row>
    <row r="7" spans="2:4" ht="30">
      <c r="B7" s="20" t="s">
        <v>50</v>
      </c>
      <c r="C7" s="21" t="s">
        <v>51</v>
      </c>
      <c r="D7" s="22">
        <v>13372156</v>
      </c>
    </row>
    <row r="8" spans="2:4" ht="15.75">
      <c r="B8" s="20" t="s">
        <v>52</v>
      </c>
      <c r="C8" s="20" t="s">
        <v>53</v>
      </c>
      <c r="D8" s="22">
        <f>D5+D6+D7</f>
        <v>16122156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8B124-7960-49E9-9BA8-F1680AA8D4D4}">
  <dimension ref="A1:AA54"/>
  <sheetViews>
    <sheetView tabSelected="1" zoomScaleNormal="100" workbookViewId="0">
      <selection activeCell="I41" sqref="I41"/>
    </sheetView>
  </sheetViews>
  <sheetFormatPr baseColWidth="10" defaultRowHeight="15"/>
  <cols>
    <col min="2" max="2" width="17.5703125" style="1" customWidth="1"/>
    <col min="3" max="3" width="17.5703125" customWidth="1"/>
    <col min="4" max="4" width="25.28515625" customWidth="1"/>
    <col min="5" max="5" width="25.140625" customWidth="1"/>
    <col min="6" max="6" width="25.7109375" customWidth="1"/>
    <col min="7" max="7" width="19.5703125" customWidth="1"/>
    <col min="8" max="8" width="17" customWidth="1"/>
    <col min="9" max="9" width="18" bestFit="1" customWidth="1"/>
    <col min="10" max="14" width="17.28515625" bestFit="1" customWidth="1"/>
    <col min="15" max="27" width="18.5703125" bestFit="1" customWidth="1"/>
  </cols>
  <sheetData>
    <row r="1" spans="1:27">
      <c r="A1" s="3"/>
      <c r="B1" s="3"/>
      <c r="C1" s="3"/>
      <c r="D1" s="3"/>
    </row>
    <row r="2" spans="1:27">
      <c r="A2" s="3"/>
      <c r="B2" s="3"/>
      <c r="C2" s="3"/>
      <c r="D2" s="3"/>
    </row>
    <row r="3" spans="1:27">
      <c r="A3" s="3"/>
      <c r="B3" s="3"/>
      <c r="C3" s="3"/>
      <c r="D3" s="4"/>
    </row>
    <row r="4" spans="1:27" ht="31.5">
      <c r="A4" s="3"/>
      <c r="B4" s="9" t="s">
        <v>0</v>
      </c>
      <c r="C4" s="9" t="s">
        <v>1</v>
      </c>
      <c r="D4" s="9" t="s">
        <v>2</v>
      </c>
      <c r="E4" s="9" t="s">
        <v>3</v>
      </c>
      <c r="F4" s="9" t="s">
        <v>4</v>
      </c>
      <c r="G4" s="9" t="s">
        <v>5</v>
      </c>
      <c r="H4" s="9" t="s">
        <v>6</v>
      </c>
      <c r="I4" s="9" t="s">
        <v>7</v>
      </c>
      <c r="J4" s="9" t="s">
        <v>8</v>
      </c>
      <c r="K4" s="9" t="s">
        <v>9</v>
      </c>
      <c r="L4" s="9" t="s">
        <v>10</v>
      </c>
      <c r="M4" s="9" t="s">
        <v>11</v>
      </c>
      <c r="N4" s="9" t="s">
        <v>12</v>
      </c>
      <c r="O4" s="9" t="s">
        <v>24</v>
      </c>
      <c r="P4" s="9" t="s">
        <v>13</v>
      </c>
      <c r="Q4" s="9" t="s">
        <v>14</v>
      </c>
      <c r="R4" s="9" t="s">
        <v>15</v>
      </c>
      <c r="S4" s="9" t="s">
        <v>16</v>
      </c>
      <c r="T4" s="9" t="s">
        <v>17</v>
      </c>
      <c r="U4" s="9" t="s">
        <v>18</v>
      </c>
      <c r="V4" s="9" t="s">
        <v>19</v>
      </c>
      <c r="W4" s="9" t="s">
        <v>20</v>
      </c>
      <c r="X4" s="9" t="s">
        <v>21</v>
      </c>
      <c r="Y4" s="9" t="s">
        <v>22</v>
      </c>
      <c r="Z4" s="9" t="s">
        <v>23</v>
      </c>
      <c r="AA4" s="9" t="s">
        <v>25</v>
      </c>
    </row>
    <row r="5" spans="1:27" ht="15.75">
      <c r="A5" s="3"/>
      <c r="B5" s="5"/>
      <c r="C5" s="7"/>
      <c r="D5" s="8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31.5">
      <c r="A6" s="3"/>
      <c r="B6" s="5" t="s">
        <v>27</v>
      </c>
      <c r="C6" s="25"/>
      <c r="D6" s="24">
        <v>1050000</v>
      </c>
      <c r="E6" s="24">
        <v>1050000</v>
      </c>
      <c r="F6" s="24">
        <v>1050000</v>
      </c>
      <c r="G6" s="24">
        <v>1050000</v>
      </c>
      <c r="H6" s="24">
        <v>1050000</v>
      </c>
      <c r="I6" s="24">
        <v>1050000</v>
      </c>
      <c r="J6" s="24">
        <v>1050000</v>
      </c>
      <c r="K6" s="24">
        <v>1050000</v>
      </c>
      <c r="L6" s="24">
        <v>1050000</v>
      </c>
      <c r="M6" s="24">
        <v>1050000</v>
      </c>
      <c r="N6" s="24">
        <v>1050000</v>
      </c>
      <c r="O6" s="24">
        <v>1050000</v>
      </c>
      <c r="P6" s="24">
        <v>1050000</v>
      </c>
      <c r="Q6" s="24">
        <v>1050000</v>
      </c>
      <c r="R6" s="24">
        <v>1050000</v>
      </c>
      <c r="S6" s="24">
        <v>1050000</v>
      </c>
      <c r="T6" s="24">
        <v>1050000</v>
      </c>
      <c r="U6" s="24">
        <v>1050000</v>
      </c>
      <c r="V6" s="24">
        <v>1050000</v>
      </c>
      <c r="W6" s="24">
        <v>1050000</v>
      </c>
      <c r="X6" s="24">
        <v>1050000</v>
      </c>
      <c r="Y6" s="24">
        <v>1050000</v>
      </c>
      <c r="Z6" s="24">
        <v>1050000</v>
      </c>
      <c r="AA6" s="24">
        <v>1050000</v>
      </c>
    </row>
    <row r="7" spans="1:27" ht="31.5">
      <c r="A7" s="3"/>
      <c r="B7" s="5" t="s">
        <v>28</v>
      </c>
      <c r="C7" s="25"/>
      <c r="D7" s="24">
        <v>500000</v>
      </c>
      <c r="E7" s="24">
        <v>500000</v>
      </c>
      <c r="F7" s="24">
        <v>500000</v>
      </c>
      <c r="G7" s="24">
        <v>500000</v>
      </c>
      <c r="H7" s="24">
        <v>500000</v>
      </c>
      <c r="I7" s="24">
        <v>500000</v>
      </c>
      <c r="J7" s="24">
        <v>500000</v>
      </c>
      <c r="K7" s="24">
        <v>500000</v>
      </c>
      <c r="L7" s="24">
        <v>500000</v>
      </c>
      <c r="M7" s="24">
        <v>500000</v>
      </c>
      <c r="N7" s="24">
        <v>500000</v>
      </c>
      <c r="O7" s="24">
        <v>500000</v>
      </c>
      <c r="P7" s="24">
        <v>500000</v>
      </c>
      <c r="Q7" s="24">
        <v>500000</v>
      </c>
      <c r="R7" s="24">
        <v>500000</v>
      </c>
      <c r="S7" s="24">
        <v>500000</v>
      </c>
      <c r="T7" s="24">
        <v>500000</v>
      </c>
      <c r="U7" s="24">
        <v>500000</v>
      </c>
      <c r="V7" s="24">
        <v>500000</v>
      </c>
      <c r="W7" s="24">
        <v>500000</v>
      </c>
      <c r="X7" s="24">
        <v>500000</v>
      </c>
      <c r="Y7" s="24">
        <v>500000</v>
      </c>
      <c r="Z7" s="24">
        <v>500000</v>
      </c>
      <c r="AA7" s="24">
        <v>500000</v>
      </c>
    </row>
    <row r="8" spans="1:27" ht="31.5">
      <c r="B8" s="5" t="s">
        <v>29</v>
      </c>
      <c r="C8" s="25"/>
      <c r="D8" s="24">
        <v>3400000</v>
      </c>
      <c r="E8" s="24">
        <v>3400000</v>
      </c>
      <c r="F8" s="24">
        <v>3400000</v>
      </c>
      <c r="G8" s="24">
        <v>3400000</v>
      </c>
      <c r="H8" s="24">
        <v>3400000</v>
      </c>
      <c r="I8" s="24">
        <v>3400000</v>
      </c>
      <c r="J8" s="24">
        <v>3400000</v>
      </c>
      <c r="K8" s="24">
        <v>3400000</v>
      </c>
      <c r="L8" s="24">
        <v>3400000</v>
      </c>
      <c r="M8" s="24">
        <v>3400000</v>
      </c>
      <c r="N8" s="24">
        <v>3400000</v>
      </c>
      <c r="O8" s="24">
        <v>3400000</v>
      </c>
      <c r="P8" s="24">
        <v>3400000</v>
      </c>
      <c r="Q8" s="24">
        <v>3400000</v>
      </c>
      <c r="R8" s="24">
        <v>3400000</v>
      </c>
      <c r="S8" s="24">
        <v>3400000</v>
      </c>
      <c r="T8" s="24">
        <v>3400000</v>
      </c>
      <c r="U8" s="24">
        <v>3400000</v>
      </c>
      <c r="V8" s="24">
        <v>3400000</v>
      </c>
      <c r="W8" s="24">
        <v>3400000</v>
      </c>
      <c r="X8" s="24">
        <v>3400000</v>
      </c>
      <c r="Y8" s="24">
        <v>3400000</v>
      </c>
      <c r="Z8" s="24">
        <v>3400000</v>
      </c>
      <c r="AA8" s="24">
        <v>3400000</v>
      </c>
    </row>
    <row r="9" spans="1:27" ht="15.75">
      <c r="B9" s="5" t="s">
        <v>26</v>
      </c>
      <c r="C9" s="25"/>
      <c r="D9" s="24">
        <f>SUM(D6,D7,D8)</f>
        <v>4950000</v>
      </c>
      <c r="E9" s="24">
        <f t="shared" ref="E9:AA9" si="0">SUM(E6,E7,E8)</f>
        <v>4950000</v>
      </c>
      <c r="F9" s="24">
        <f t="shared" si="0"/>
        <v>4950000</v>
      </c>
      <c r="G9" s="24">
        <f t="shared" si="0"/>
        <v>4950000</v>
      </c>
      <c r="H9" s="24">
        <f t="shared" si="0"/>
        <v>4950000</v>
      </c>
      <c r="I9" s="24">
        <f t="shared" si="0"/>
        <v>4950000</v>
      </c>
      <c r="J9" s="24">
        <f t="shared" si="0"/>
        <v>4950000</v>
      </c>
      <c r="K9" s="24">
        <f t="shared" si="0"/>
        <v>4950000</v>
      </c>
      <c r="L9" s="24">
        <f t="shared" si="0"/>
        <v>4950000</v>
      </c>
      <c r="M9" s="24">
        <f t="shared" si="0"/>
        <v>4950000</v>
      </c>
      <c r="N9" s="24">
        <f t="shared" si="0"/>
        <v>4950000</v>
      </c>
      <c r="O9" s="24">
        <f t="shared" si="0"/>
        <v>4950000</v>
      </c>
      <c r="P9" s="24">
        <f t="shared" si="0"/>
        <v>4950000</v>
      </c>
      <c r="Q9" s="24">
        <f t="shared" si="0"/>
        <v>4950000</v>
      </c>
      <c r="R9" s="24">
        <f t="shared" si="0"/>
        <v>4950000</v>
      </c>
      <c r="S9" s="24">
        <f t="shared" si="0"/>
        <v>4950000</v>
      </c>
      <c r="T9" s="24">
        <f t="shared" si="0"/>
        <v>4950000</v>
      </c>
      <c r="U9" s="24">
        <f t="shared" si="0"/>
        <v>4950000</v>
      </c>
      <c r="V9" s="24">
        <f t="shared" si="0"/>
        <v>4950000</v>
      </c>
      <c r="W9" s="24">
        <f t="shared" si="0"/>
        <v>4950000</v>
      </c>
      <c r="X9" s="24">
        <f t="shared" si="0"/>
        <v>4950000</v>
      </c>
      <c r="Y9" s="24">
        <f t="shared" si="0"/>
        <v>4950000</v>
      </c>
      <c r="Z9" s="24">
        <f t="shared" si="0"/>
        <v>4950000</v>
      </c>
      <c r="AA9" s="24">
        <f t="shared" si="0"/>
        <v>4950000</v>
      </c>
    </row>
    <row r="10" spans="1:27" ht="15.75">
      <c r="B10" s="5"/>
      <c r="C10" s="25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spans="1:27" ht="15.75">
      <c r="B11" s="5" t="s">
        <v>30</v>
      </c>
      <c r="C11" s="26">
        <f>C12-C13-C14-C15</f>
        <v>-16122156</v>
      </c>
      <c r="D11" s="25">
        <f>D13+D14+D15</f>
        <v>2600000</v>
      </c>
      <c r="E11" s="25">
        <f t="shared" ref="E11:AA11" si="1">E13+E14+E15</f>
        <v>2600000</v>
      </c>
      <c r="F11" s="25">
        <f t="shared" si="1"/>
        <v>2600000</v>
      </c>
      <c r="G11" s="25">
        <f t="shared" si="1"/>
        <v>2600000</v>
      </c>
      <c r="H11" s="25">
        <f t="shared" si="1"/>
        <v>2600000</v>
      </c>
      <c r="I11" s="25">
        <f t="shared" si="1"/>
        <v>2600000</v>
      </c>
      <c r="J11" s="25">
        <f t="shared" si="1"/>
        <v>2600000</v>
      </c>
      <c r="K11" s="25">
        <f t="shared" si="1"/>
        <v>2600000</v>
      </c>
      <c r="L11" s="25">
        <f t="shared" si="1"/>
        <v>2600000</v>
      </c>
      <c r="M11" s="25">
        <f t="shared" si="1"/>
        <v>2600000</v>
      </c>
      <c r="N11" s="25">
        <f t="shared" si="1"/>
        <v>2600000</v>
      </c>
      <c r="O11" s="25">
        <f t="shared" si="1"/>
        <v>2600000</v>
      </c>
      <c r="P11" s="25">
        <f t="shared" si="1"/>
        <v>2600000</v>
      </c>
      <c r="Q11" s="25">
        <f t="shared" si="1"/>
        <v>2600000</v>
      </c>
      <c r="R11" s="25">
        <f t="shared" si="1"/>
        <v>2600000</v>
      </c>
      <c r="S11" s="25">
        <f t="shared" si="1"/>
        <v>2600000</v>
      </c>
      <c r="T11" s="25">
        <f t="shared" si="1"/>
        <v>2600000</v>
      </c>
      <c r="U11" s="25">
        <f t="shared" si="1"/>
        <v>2600000</v>
      </c>
      <c r="V11" s="25">
        <f t="shared" si="1"/>
        <v>2600000</v>
      </c>
      <c r="W11" s="25">
        <f t="shared" si="1"/>
        <v>2600000</v>
      </c>
      <c r="X11" s="25">
        <f t="shared" si="1"/>
        <v>2600000</v>
      </c>
      <c r="Y11" s="25">
        <f t="shared" si="1"/>
        <v>2600000</v>
      </c>
      <c r="Z11" s="25">
        <f t="shared" si="1"/>
        <v>2600000</v>
      </c>
      <c r="AA11" s="25">
        <f t="shared" si="1"/>
        <v>2600000</v>
      </c>
    </row>
    <row r="12" spans="1:27" ht="31.5">
      <c r="B12" s="5" t="s">
        <v>31</v>
      </c>
      <c r="C12" s="26">
        <v>-16122156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spans="1:27" ht="31.5">
      <c r="B13" s="5" t="s">
        <v>32</v>
      </c>
      <c r="C13" s="25"/>
      <c r="D13" s="24">
        <v>250000</v>
      </c>
      <c r="E13" s="24">
        <v>250000</v>
      </c>
      <c r="F13" s="24">
        <v>250000</v>
      </c>
      <c r="G13" s="24">
        <v>250000</v>
      </c>
      <c r="H13" s="24">
        <v>250000</v>
      </c>
      <c r="I13" s="24">
        <v>250000</v>
      </c>
      <c r="J13" s="24">
        <v>250000</v>
      </c>
      <c r="K13" s="24">
        <v>250000</v>
      </c>
      <c r="L13" s="24">
        <v>250000</v>
      </c>
      <c r="M13" s="24">
        <v>250000</v>
      </c>
      <c r="N13" s="24">
        <v>250000</v>
      </c>
      <c r="O13" s="24">
        <v>250000</v>
      </c>
      <c r="P13" s="24">
        <v>250000</v>
      </c>
      <c r="Q13" s="24">
        <v>250000</v>
      </c>
      <c r="R13" s="24">
        <v>250000</v>
      </c>
      <c r="S13" s="24">
        <v>250000</v>
      </c>
      <c r="T13" s="24">
        <v>250000</v>
      </c>
      <c r="U13" s="24">
        <v>250000</v>
      </c>
      <c r="V13" s="24">
        <v>250000</v>
      </c>
      <c r="W13" s="24">
        <v>250000</v>
      </c>
      <c r="X13" s="24">
        <v>250000</v>
      </c>
      <c r="Y13" s="24">
        <v>250000</v>
      </c>
      <c r="Z13" s="24">
        <v>250000</v>
      </c>
      <c r="AA13" s="24">
        <v>250000</v>
      </c>
    </row>
    <row r="14" spans="1:27" ht="31.5">
      <c r="B14" s="5" t="s">
        <v>33</v>
      </c>
      <c r="C14" s="25"/>
      <c r="D14" s="24">
        <v>2200000</v>
      </c>
      <c r="E14" s="24">
        <v>2200000</v>
      </c>
      <c r="F14" s="24">
        <v>2200000</v>
      </c>
      <c r="G14" s="24">
        <v>2200000</v>
      </c>
      <c r="H14" s="24">
        <v>2200000</v>
      </c>
      <c r="I14" s="24">
        <v>2200000</v>
      </c>
      <c r="J14" s="24">
        <v>2200000</v>
      </c>
      <c r="K14" s="24">
        <v>2200000</v>
      </c>
      <c r="L14" s="24">
        <v>2200000</v>
      </c>
      <c r="M14" s="24">
        <v>2200000</v>
      </c>
      <c r="N14" s="24">
        <v>2200000</v>
      </c>
      <c r="O14" s="24">
        <v>2200000</v>
      </c>
      <c r="P14" s="24">
        <v>2200000</v>
      </c>
      <c r="Q14" s="24">
        <v>2200000</v>
      </c>
      <c r="R14" s="24">
        <v>2200000</v>
      </c>
      <c r="S14" s="24">
        <v>2200000</v>
      </c>
      <c r="T14" s="24">
        <v>2200000</v>
      </c>
      <c r="U14" s="24">
        <v>2200000</v>
      </c>
      <c r="V14" s="24">
        <v>2200000</v>
      </c>
      <c r="W14" s="24">
        <v>2200000</v>
      </c>
      <c r="X14" s="24">
        <v>2200000</v>
      </c>
      <c r="Y14" s="24">
        <v>2200000</v>
      </c>
      <c r="Z14" s="24">
        <v>2200000</v>
      </c>
      <c r="AA14" s="24">
        <v>2200000</v>
      </c>
    </row>
    <row r="15" spans="1:27" ht="15.75">
      <c r="B15" s="5" t="s">
        <v>34</v>
      </c>
      <c r="C15" s="25"/>
      <c r="D15" s="24">
        <v>150000</v>
      </c>
      <c r="E15" s="24">
        <v>150000</v>
      </c>
      <c r="F15" s="24">
        <v>150000</v>
      </c>
      <c r="G15" s="24">
        <v>150000</v>
      </c>
      <c r="H15" s="24">
        <v>150000</v>
      </c>
      <c r="I15" s="24">
        <v>150000</v>
      </c>
      <c r="J15" s="24">
        <v>150000</v>
      </c>
      <c r="K15" s="24">
        <v>150000</v>
      </c>
      <c r="L15" s="24">
        <v>150000</v>
      </c>
      <c r="M15" s="24">
        <v>150000</v>
      </c>
      <c r="N15" s="24">
        <v>150000</v>
      </c>
      <c r="O15" s="24">
        <v>150000</v>
      </c>
      <c r="P15" s="24">
        <v>150000</v>
      </c>
      <c r="Q15" s="24">
        <v>150000</v>
      </c>
      <c r="R15" s="24">
        <v>150000</v>
      </c>
      <c r="S15" s="24">
        <v>150000</v>
      </c>
      <c r="T15" s="24">
        <v>150000</v>
      </c>
      <c r="U15" s="24">
        <v>150000</v>
      </c>
      <c r="V15" s="24">
        <v>150000</v>
      </c>
      <c r="W15" s="24">
        <v>150000</v>
      </c>
      <c r="X15" s="24">
        <v>150000</v>
      </c>
      <c r="Y15" s="24">
        <v>150000</v>
      </c>
      <c r="Z15" s="24">
        <v>150000</v>
      </c>
      <c r="AA15" s="24">
        <v>150000</v>
      </c>
    </row>
    <row r="16" spans="1:27" ht="15.75">
      <c r="B16" s="5"/>
      <c r="C16" s="25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spans="2:27" ht="15.75">
      <c r="B17" s="5"/>
      <c r="C17" s="25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spans="2:27" ht="15.75">
      <c r="B18" s="5" t="s">
        <v>35</v>
      </c>
      <c r="C18" s="26">
        <f>C11+C9</f>
        <v>-16122156</v>
      </c>
      <c r="D18" s="24">
        <f>D9-D11</f>
        <v>2350000</v>
      </c>
      <c r="E18" s="24">
        <f t="shared" ref="E18:AA18" si="2">E9-E11</f>
        <v>2350000</v>
      </c>
      <c r="F18" s="24">
        <f t="shared" si="2"/>
        <v>2350000</v>
      </c>
      <c r="G18" s="24">
        <f t="shared" si="2"/>
        <v>2350000</v>
      </c>
      <c r="H18" s="24">
        <f t="shared" si="2"/>
        <v>2350000</v>
      </c>
      <c r="I18" s="24">
        <f t="shared" si="2"/>
        <v>2350000</v>
      </c>
      <c r="J18" s="24">
        <f t="shared" si="2"/>
        <v>2350000</v>
      </c>
      <c r="K18" s="24">
        <f t="shared" si="2"/>
        <v>2350000</v>
      </c>
      <c r="L18" s="24">
        <f t="shared" si="2"/>
        <v>2350000</v>
      </c>
      <c r="M18" s="24">
        <f t="shared" si="2"/>
        <v>2350000</v>
      </c>
      <c r="N18" s="24">
        <f t="shared" si="2"/>
        <v>2350000</v>
      </c>
      <c r="O18" s="24">
        <f t="shared" si="2"/>
        <v>2350000</v>
      </c>
      <c r="P18" s="24">
        <f t="shared" si="2"/>
        <v>2350000</v>
      </c>
      <c r="Q18" s="24">
        <f t="shared" si="2"/>
        <v>2350000</v>
      </c>
      <c r="R18" s="24">
        <f t="shared" si="2"/>
        <v>2350000</v>
      </c>
      <c r="S18" s="24">
        <f t="shared" si="2"/>
        <v>2350000</v>
      </c>
      <c r="T18" s="24">
        <f t="shared" si="2"/>
        <v>2350000</v>
      </c>
      <c r="U18" s="24">
        <f t="shared" si="2"/>
        <v>2350000</v>
      </c>
      <c r="V18" s="24">
        <f t="shared" si="2"/>
        <v>2350000</v>
      </c>
      <c r="W18" s="24">
        <f t="shared" si="2"/>
        <v>2350000</v>
      </c>
      <c r="X18" s="24">
        <f t="shared" si="2"/>
        <v>2350000</v>
      </c>
      <c r="Y18" s="24">
        <f t="shared" si="2"/>
        <v>2350000</v>
      </c>
      <c r="Z18" s="24">
        <f t="shared" si="2"/>
        <v>2350000</v>
      </c>
      <c r="AA18" s="24">
        <f t="shared" si="2"/>
        <v>2350000</v>
      </c>
    </row>
    <row r="19" spans="2:27" ht="31.5">
      <c r="B19" s="5" t="s">
        <v>36</v>
      </c>
      <c r="C19" s="26">
        <f>C18</f>
        <v>-16122156</v>
      </c>
      <c r="D19" s="24">
        <f>C18+D18</f>
        <v>-13772156</v>
      </c>
      <c r="E19" s="24">
        <f>D19+E18</f>
        <v>-11422156</v>
      </c>
      <c r="F19" s="24">
        <f>E19+F18</f>
        <v>-9072156</v>
      </c>
      <c r="G19" s="24">
        <f>F19+G18</f>
        <v>-6722156</v>
      </c>
      <c r="H19" s="27">
        <f>G19+H18</f>
        <v>-4372156</v>
      </c>
      <c r="I19" s="24">
        <f>H19+I18</f>
        <v>-2022156</v>
      </c>
      <c r="J19" s="24">
        <f>I19+J18</f>
        <v>327844</v>
      </c>
      <c r="K19" s="24">
        <f>J19+K18</f>
        <v>2677844</v>
      </c>
      <c r="L19" s="24">
        <f>K19+L18</f>
        <v>5027844</v>
      </c>
      <c r="M19" s="24">
        <f t="shared" ref="G19:AA19" si="3">L19+M18</f>
        <v>7377844</v>
      </c>
      <c r="N19" s="24">
        <f t="shared" si="3"/>
        <v>9727844</v>
      </c>
      <c r="O19" s="24">
        <f t="shared" si="3"/>
        <v>12077844</v>
      </c>
      <c r="P19" s="24">
        <f t="shared" si="3"/>
        <v>14427844</v>
      </c>
      <c r="Q19" s="24">
        <f t="shared" si="3"/>
        <v>16777844</v>
      </c>
      <c r="R19" s="24">
        <f t="shared" si="3"/>
        <v>19127844</v>
      </c>
      <c r="S19" s="24">
        <f t="shared" si="3"/>
        <v>21477844</v>
      </c>
      <c r="T19" s="24">
        <f t="shared" si="3"/>
        <v>23827844</v>
      </c>
      <c r="U19" s="24">
        <f t="shared" si="3"/>
        <v>26177844</v>
      </c>
      <c r="V19" s="24">
        <f t="shared" si="3"/>
        <v>28527844</v>
      </c>
      <c r="W19" s="24">
        <f t="shared" si="3"/>
        <v>30877844</v>
      </c>
      <c r="X19" s="24">
        <f t="shared" si="3"/>
        <v>33227844</v>
      </c>
      <c r="Y19" s="24">
        <f t="shared" si="3"/>
        <v>35577844</v>
      </c>
      <c r="Z19" s="24">
        <f t="shared" si="3"/>
        <v>37927844</v>
      </c>
      <c r="AA19" s="24">
        <f t="shared" si="3"/>
        <v>40277844</v>
      </c>
    </row>
    <row r="22" spans="2:27">
      <c r="C22" s="2" t="s">
        <v>37</v>
      </c>
      <c r="D22" s="10">
        <v>0.1</v>
      </c>
      <c r="E22" s="6"/>
    </row>
    <row r="23" spans="2:27">
      <c r="C23" s="11" t="s">
        <v>38</v>
      </c>
      <c r="D23" s="11">
        <f>(1+D22)^(1/12)-1</f>
        <v>7.9741404289037643E-3</v>
      </c>
    </row>
    <row r="24" spans="2:27">
      <c r="C24" s="11" t="s">
        <v>39</v>
      </c>
      <c r="D24" s="28">
        <f>NPV(D23,D18:AA18) + C18</f>
        <v>35024578.034315415</v>
      </c>
    </row>
    <row r="25" spans="2:27">
      <c r="C25" s="11" t="s">
        <v>40</v>
      </c>
      <c r="D25" s="12">
        <f>IRR(C18:AA18)</f>
        <v>0.13940317615516862</v>
      </c>
    </row>
    <row r="26" spans="2:27">
      <c r="C26" s="11" t="s">
        <v>41</v>
      </c>
      <c r="D26" s="18" cm="1">
        <f t="array" ref="D26">MATCH(TRUE, INDEX(C19:AA19&gt;0,0), 0)</f>
        <v>8</v>
      </c>
    </row>
    <row r="27" spans="2:27">
      <c r="C27" s="17" t="s">
        <v>42</v>
      </c>
      <c r="D27" s="19">
        <f>AA19/ABS(C18)</f>
        <v>2.4982914195843287</v>
      </c>
    </row>
    <row r="33" spans="4:8">
      <c r="H33" s="13"/>
    </row>
    <row r="36" spans="4:8" ht="15.75">
      <c r="D36" s="14"/>
      <c r="E36" s="14"/>
      <c r="F36" s="14"/>
    </row>
    <row r="37" spans="4:8" ht="15.75">
      <c r="D37" s="14"/>
      <c r="E37" s="14"/>
      <c r="F37" s="14"/>
    </row>
    <row r="38" spans="4:8">
      <c r="D38" s="3"/>
      <c r="E38" s="3"/>
      <c r="F38" s="3"/>
    </row>
    <row r="39" spans="4:8">
      <c r="D39" s="3"/>
      <c r="E39" s="3"/>
      <c r="F39" s="3"/>
    </row>
    <row r="40" spans="4:8">
      <c r="D40" s="3"/>
      <c r="E40" s="3"/>
      <c r="F40" s="3"/>
    </row>
    <row r="41" spans="4:8" ht="15.75">
      <c r="D41" s="14"/>
      <c r="E41" s="14"/>
      <c r="F41" s="14"/>
    </row>
    <row r="42" spans="4:8">
      <c r="D42" s="3"/>
      <c r="E42" s="3"/>
      <c r="F42" s="3"/>
    </row>
    <row r="43" spans="4:8">
      <c r="D43" s="3"/>
      <c r="E43" s="3"/>
      <c r="F43" s="3"/>
    </row>
    <row r="44" spans="4:8">
      <c r="D44" s="3"/>
      <c r="E44" s="3"/>
      <c r="F44" s="3"/>
    </row>
    <row r="45" spans="4:8" ht="15.75">
      <c r="D45" s="14"/>
      <c r="E45" s="14"/>
      <c r="F45" s="14"/>
    </row>
    <row r="50" spans="4:8" ht="15.75">
      <c r="D50" s="15"/>
      <c r="E50" s="15"/>
      <c r="F50" s="15"/>
      <c r="G50" s="15"/>
      <c r="H50" s="15"/>
    </row>
    <row r="51" spans="4:8" ht="15.75">
      <c r="D51" s="15"/>
      <c r="E51" s="16"/>
      <c r="F51" s="16"/>
      <c r="G51" s="16"/>
      <c r="H51" s="16"/>
    </row>
    <row r="52" spans="4:8" ht="15.75">
      <c r="D52" s="15"/>
      <c r="E52" s="16"/>
      <c r="F52" s="16"/>
      <c r="G52" s="16"/>
      <c r="H52" s="16"/>
    </row>
    <row r="53" spans="4:8" ht="15.75">
      <c r="D53" s="15"/>
      <c r="E53" s="15"/>
      <c r="F53" s="15"/>
      <c r="G53" s="15"/>
      <c r="H53" s="15"/>
    </row>
    <row r="54" spans="4:8" ht="15.75">
      <c r="D54" s="15"/>
      <c r="E54" s="15"/>
      <c r="F54" s="16"/>
      <c r="G54" s="16"/>
      <c r="H54" s="16"/>
    </row>
  </sheetData>
  <phoneticPr fontId="3" type="noConversion"/>
  <conditionalFormatting sqref="C5:AA1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 Inversión</vt:lpstr>
      <vt:lpstr>Flujo de Caja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JOSE MORALES ALCAVIL</dc:creator>
  <cp:lastModifiedBy>MATIAS JOSE MORALES ALCAVIL</cp:lastModifiedBy>
  <dcterms:created xsi:type="dcterms:W3CDTF">2025-12-12T21:57:10Z</dcterms:created>
  <dcterms:modified xsi:type="dcterms:W3CDTF">2025-12-13T02:00:29Z</dcterms:modified>
</cp:coreProperties>
</file>